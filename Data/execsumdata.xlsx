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2EDD87-70EF-4E07-AD49-BD6C9B5F5432}" xr6:coauthVersionLast="47" xr6:coauthVersionMax="47" xr10:uidLastSave="{00000000-0000-0000-0000-000000000000}"/>
  <bookViews>
    <workbookView xWindow="2856" yWindow="2856" windowWidth="17280" windowHeight="8880" xr2:uid="{66F20C9A-8799-41CE-9761-727367CDE08A}"/>
  </bookViews>
  <sheets>
    <sheet name="Sheet1" sheetId="1" r:id="rId1"/>
    <sheet name="geodata2" sheetId="6" r:id="rId2"/>
    <sheet name="Sheet2" sheetId="2" r:id="rId3"/>
    <sheet name="geodata" sheetId="5" r:id="rId4"/>
  </sheets>
  <definedNames>
    <definedName name="ExternalData_1" localSheetId="3" hidden="1">geodata!$B$1:$C$4</definedName>
    <definedName name="ExternalData_1" localSheetId="1" hidden="1">geodata2!$A$1:$E$4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6" i="1"/>
  <c r="D6" i="1"/>
  <c r="D7" i="1"/>
  <c r="D8" i="1"/>
  <c r="D9" i="1"/>
  <c r="D10" i="1"/>
  <c r="D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2EE08C-3961-49B5-B053-B480DB7522E0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  <connection id="2" xr16:uid="{AF8D8C1A-1269-429B-849E-7B5EF78A8AB7}" keepAlive="1" name="Query - Table2 (2)" description="Connection to the 'Table2 (2)' query in the workbook." type="5" refreshedVersion="8" background="1" saveData="1">
    <dbPr connection="Provider=Microsoft.Mashup.OleDb.1;Data Source=$Workbook$;Location=&quot;Table2 (2)&quot;;Extended Properties=&quot;&quot;" command="SELECT * FROM [Table2 (2)]"/>
  </connection>
  <connection id="3" xr16:uid="{B1CEACDF-968B-4421-AF8D-194A0011A8CE}" keepAlive="1" name="Query - Table2 (3)" description="Connection to the 'Table2 (3)' query in the workbook." type="5" refreshedVersion="8" background="1" saveData="1">
    <dbPr connection="Provider=Microsoft.Mashup.OleDb.1;Data Source=$Workbook$;Location=&quot;Table2 (3)&quot;;Extended Properties=&quot;&quot;" command="SELECT * FROM [Table2 (3)]"/>
  </connection>
</connections>
</file>

<file path=xl/sharedStrings.xml><?xml version="1.0" encoding="utf-8"?>
<sst xmlns="http://schemas.openxmlformats.org/spreadsheetml/2006/main" count="32" uniqueCount="24">
  <si>
    <t>total_revenue</t>
  </si>
  <si>
    <t>total_rpo</t>
  </si>
  <si>
    <t>Column1</t>
  </si>
  <si>
    <t>Column2</t>
  </si>
  <si>
    <t>Year</t>
  </si>
  <si>
    <t>Americas</t>
  </si>
  <si>
    <t>Europe</t>
  </si>
  <si>
    <t>Asia Pacific</t>
  </si>
  <si>
    <t>Total</t>
  </si>
  <si>
    <t>Country</t>
  </si>
  <si>
    <t>Revenue_25</t>
  </si>
  <si>
    <t>Revenue_24</t>
  </si>
  <si>
    <t>Revenue_23</t>
  </si>
  <si>
    <t>Period</t>
  </si>
  <si>
    <t>Q1 FY2024</t>
  </si>
  <si>
    <t>Q2 FY2024</t>
  </si>
  <si>
    <t>Q3 FY2024</t>
  </si>
  <si>
    <t>Q4 FY2024</t>
  </si>
  <si>
    <t>Q1 FY2025</t>
  </si>
  <si>
    <t>Q2 FY2025</t>
  </si>
  <si>
    <t>Q3 FY2025</t>
  </si>
  <si>
    <t>Q4 FY2025</t>
  </si>
  <si>
    <t>Q1 FY2026</t>
  </si>
  <si>
    <t>Q2 FY2026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</si>
</sst>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NumberFormat="1" applyFont="1" applyFill="1" applyBorder="1" applyAlignment="1" applyProtection="1"/>
  </cellXfs>
  <cellStyles count="1">
    <cellStyle name="Normal" xfId="0" builtinId="0"/>
  </cellStyles>
  <dxfs count="12"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4817459-72A8-448B-B8F5-4DB5C116E47D}" autoFormatId="16" applyNumberFormats="0" applyBorderFormats="0" applyFontFormats="0" applyPatternFormats="0" applyAlignmentFormats="0" applyWidthHeightFormats="0">
  <queryTableRefresh nextId="6">
    <queryTableFields count="5">
      <queryTableField id="1" name="Year" tableColumnId="1"/>
      <queryTableField id="2" name="Americas" tableColumnId="2"/>
      <queryTableField id="3" name="Europe" tableColumnId="3"/>
      <queryTableField id="4" name="Asia Pacific" tableColumnId="4"/>
      <queryTableField id="5" name="Total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CCF360E-A008-4371-81B1-2727807A5A50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Country" tableColumnId="1"/>
      <queryTableField id="2" name="Revenue" tableColumnId="2"/>
      <queryTableField id="3" dataBound="0" tableColumnId="3"/>
      <queryTableField id="4" dataBound="0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D3F14D-BC3A-41F3-8E32-3A021BE8AA97}" name="Table1" displayName="Table1" ref="A1:E11" totalsRowShown="0" headerRowDxfId="11" dataDxfId="10">
  <autoFilter ref="A1:E11" xr:uid="{B6D3F14D-BC3A-41F3-8E32-3A021BE8AA97}"/>
  <tableColumns count="5">
    <tableColumn id="1" xr3:uid="{82A67924-B7B4-40EC-BB7B-16838E7FF6E9}" name="Period"/>
    <tableColumn id="2" xr3:uid="{017BF8CC-3736-49E3-AA9C-52078DC79EF7}" name="total_revenue" dataDxfId="9"/>
    <tableColumn id="3" xr3:uid="{0DD42A43-E80B-46D5-80B8-2421225BCB28}" name="total_rpo" dataDxfId="8"/>
    <tableColumn id="4" xr3:uid="{B9B1D31F-B1F8-4885-9D58-0F193256C5AF}" name="Column1"/>
    <tableColumn id="5" xr3:uid="{87119F05-E5AF-4863-B22D-98FDD3ADDBEC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57479-C098-46A1-B7C8-D142C07622AD}" name="Table2__3" displayName="Table2__3" ref="A1:E4" tableType="queryTable" totalsRowShown="0">
  <autoFilter ref="A1:E4" xr:uid="{6BE57479-C098-46A1-B7C8-D142C07622AD}"/>
  <tableColumns count="5">
    <tableColumn id="1" xr3:uid="{1ADBCC51-DFE5-4657-BF33-86617DCC67F7}" uniqueName="1" name="Year" queryTableFieldId="1"/>
    <tableColumn id="2" xr3:uid="{054CF3A7-7C43-47CC-A6E7-70D0D6DF3408}" uniqueName="2" name="Americas" queryTableFieldId="2"/>
    <tableColumn id="3" xr3:uid="{D6E0CE03-FF1C-4429-8F60-69B3C8BD41D3}" uniqueName="3" name="Europe" queryTableFieldId="3"/>
    <tableColumn id="4" xr3:uid="{FC968876-ECF2-4D16-BBF6-02CC6149B516}" uniqueName="4" name="Asia Pacific" queryTableFieldId="4"/>
    <tableColumn id="5" xr3:uid="{7C7E114D-AB08-489A-A9D4-01CE70A9A06C}" uniqueName="5" name="Total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E79469-4BE0-4604-8391-79C7CC26DBE2}" name="Table2" displayName="Table2" ref="A1:E4" totalsRowShown="0" headerRowDxfId="7" dataDxfId="6">
  <autoFilter ref="A1:E4" xr:uid="{02E79469-4BE0-4604-8391-79C7CC26DBE2}"/>
  <tableColumns count="5">
    <tableColumn id="1" xr3:uid="{0ADCD3B8-CFBB-452C-8D76-99D8C123DEE5}" name="Year" dataDxfId="5"/>
    <tableColumn id="2" xr3:uid="{2DEF9779-47BE-4C41-A98F-FE5D39B0194E}" name="Americas" dataDxfId="4"/>
    <tableColumn id="3" xr3:uid="{E4AEFA8D-A2AD-48BF-94B5-D40E371DC078}" name="Europe" dataDxfId="3"/>
    <tableColumn id="4" xr3:uid="{836CF761-362B-4CBF-9A0E-7051B8BDD3BC}" name="Asia Pacific" dataDxfId="2"/>
    <tableColumn id="5" xr3:uid="{82368572-160F-49DB-8FFD-036CBE13D6C5}" name="Total" data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78666C-1B20-475B-814F-80884D751A42}" name="Table2_15" displayName="Table2_15" ref="B1:E4" tableType="queryTable" totalsRowShown="0">
  <autoFilter ref="B1:E4" xr:uid="{3578666C-1B20-475B-814F-80884D751A42}"/>
  <tableColumns count="4">
    <tableColumn id="1" xr3:uid="{6D50E234-5AAA-451A-BBDA-911CE1358537}" uniqueName="1" name="Country" queryTableFieldId="1" dataDxfId="0"/>
    <tableColumn id="2" xr3:uid="{FE6BC877-4F5C-481A-AD48-9543976BD369}" uniqueName="2" name="Revenue_25" queryTableFieldId="2"/>
    <tableColumn id="3" xr3:uid="{4A8C829D-8554-4F59-A8A4-90E94128C2CA}" uniqueName="3" name="Revenue_24" queryTableFieldId="3"/>
    <tableColumn id="4" xr3:uid="{ECB482C2-BEA9-4814-BB4E-49E829185604}" uniqueName="4" name="Revenue_23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1ADD-783E-4438-9A13-20B158CB5BF3}">
  <dimension ref="A1:E11"/>
  <sheetViews>
    <sheetView tabSelected="1" workbookViewId="0">
      <selection activeCell="F11" sqref="F11"/>
    </sheetView>
  </sheetViews>
  <sheetFormatPr defaultRowHeight="14.4" x14ac:dyDescent="0.3"/>
  <cols>
    <col min="2" max="2" width="15.6640625" customWidth="1"/>
    <col min="3" max="5" width="11.33203125" customWidth="1"/>
  </cols>
  <sheetData>
    <row r="1" spans="1:5" x14ac:dyDescent="0.3">
      <c r="A1" s="5" t="s">
        <v>13</v>
      </c>
      <c r="B1" s="1" t="s">
        <v>0</v>
      </c>
      <c r="C1" s="1" t="s">
        <v>1</v>
      </c>
      <c r="D1" t="s">
        <v>2</v>
      </c>
      <c r="E1" t="s">
        <v>3</v>
      </c>
    </row>
    <row r="2" spans="1:5" x14ac:dyDescent="0.3">
      <c r="A2" s="5" t="s">
        <v>14</v>
      </c>
      <c r="B2" s="2">
        <v>8247</v>
      </c>
      <c r="C2" s="1">
        <v>46.7</v>
      </c>
      <c r="D2">
        <v>0</v>
      </c>
      <c r="E2">
        <v>0</v>
      </c>
    </row>
    <row r="3" spans="1:5" x14ac:dyDescent="0.3">
      <c r="A3" s="5" t="s">
        <v>15</v>
      </c>
      <c r="B3" s="2">
        <v>8603</v>
      </c>
      <c r="C3" s="1">
        <v>46.6</v>
      </c>
      <c r="D3">
        <v>0</v>
      </c>
      <c r="E3">
        <v>0</v>
      </c>
    </row>
    <row r="4" spans="1:5" x14ac:dyDescent="0.3">
      <c r="A4" s="5" t="s">
        <v>16</v>
      </c>
      <c r="B4" s="2">
        <v>8720</v>
      </c>
      <c r="C4" s="1">
        <v>48.3</v>
      </c>
      <c r="D4">
        <v>0</v>
      </c>
      <c r="E4">
        <v>0</v>
      </c>
    </row>
    <row r="5" spans="1:5" x14ac:dyDescent="0.3">
      <c r="A5" s="5" t="s">
        <v>17</v>
      </c>
      <c r="B5" s="2">
        <v>9287</v>
      </c>
      <c r="C5" s="1">
        <v>56.9</v>
      </c>
      <c r="D5">
        <v>0</v>
      </c>
      <c r="E5">
        <v>0</v>
      </c>
    </row>
    <row r="6" spans="1:5" x14ac:dyDescent="0.3">
      <c r="A6" s="5" t="s">
        <v>18</v>
      </c>
      <c r="B6" s="2">
        <v>9133</v>
      </c>
      <c r="C6" s="1">
        <v>53.9</v>
      </c>
      <c r="D6">
        <f>((B6/B2)-1 )*100</f>
        <v>10.743300594155446</v>
      </c>
      <c r="E6">
        <f>((C6/C2)-1)*100</f>
        <v>15.417558886509619</v>
      </c>
    </row>
    <row r="7" spans="1:5" x14ac:dyDescent="0.3">
      <c r="A7" s="5" t="s">
        <v>19</v>
      </c>
      <c r="B7" s="2">
        <v>9325</v>
      </c>
      <c r="C7" s="1">
        <v>53.5</v>
      </c>
      <c r="D7">
        <f t="shared" ref="D7:D11" si="0">((B7/B3)-1 )*100</f>
        <v>8.3924212484017158</v>
      </c>
      <c r="E7">
        <f t="shared" ref="E7:E11" si="1">((C7/C3)-1)*100</f>
        <v>14.806866952789699</v>
      </c>
    </row>
    <row r="8" spans="1:5" x14ac:dyDescent="0.3">
      <c r="A8" s="5" t="s">
        <v>20</v>
      </c>
      <c r="B8" s="2">
        <v>9444</v>
      </c>
      <c r="C8" s="1">
        <v>53.1</v>
      </c>
      <c r="D8">
        <f t="shared" si="0"/>
        <v>8.3027522935779743</v>
      </c>
      <c r="E8">
        <f t="shared" si="1"/>
        <v>9.9378881987577827</v>
      </c>
    </row>
    <row r="9" spans="1:5" x14ac:dyDescent="0.3">
      <c r="A9" s="5" t="s">
        <v>21</v>
      </c>
      <c r="B9" s="2">
        <v>9993</v>
      </c>
      <c r="C9" s="1">
        <v>63.4</v>
      </c>
      <c r="D9">
        <f t="shared" si="0"/>
        <v>7.6020243350920724</v>
      </c>
      <c r="E9">
        <f t="shared" si="1"/>
        <v>11.423550087873458</v>
      </c>
    </row>
    <row r="10" spans="1:5" x14ac:dyDescent="0.3">
      <c r="A10" s="5" t="s">
        <v>22</v>
      </c>
      <c r="B10" s="2">
        <v>9829</v>
      </c>
      <c r="C10" s="1">
        <v>60.9</v>
      </c>
      <c r="D10">
        <f t="shared" si="0"/>
        <v>7.6207160845286337</v>
      </c>
      <c r="E10">
        <f t="shared" si="1"/>
        <v>12.987012987012992</v>
      </c>
    </row>
    <row r="11" spans="1:5" x14ac:dyDescent="0.3">
      <c r="A11" s="5" t="s">
        <v>23</v>
      </c>
      <c r="B11" s="2">
        <v>10236</v>
      </c>
      <c r="C11" s="1">
        <v>59.9</v>
      </c>
      <c r="D11">
        <f t="shared" si="0"/>
        <v>9.7694369973190263</v>
      </c>
      <c r="E11">
        <f t="shared" si="1"/>
        <v>11.962616822429894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270A8-9CAD-4F42-A269-86F8083FF20C}">
  <dimension ref="A1:E4"/>
  <sheetViews>
    <sheetView workbookViewId="0">
      <selection activeCell="F21" sqref="F21"/>
    </sheetView>
  </sheetViews>
  <sheetFormatPr defaultRowHeight="14.4" x14ac:dyDescent="0.3"/>
  <cols>
    <col min="1" max="1" width="7.33203125" bestFit="1" customWidth="1"/>
    <col min="2" max="2" width="11.5546875" bestFit="1" customWidth="1"/>
    <col min="3" max="3" width="9.6640625" bestFit="1" customWidth="1"/>
    <col min="4" max="4" width="13.44140625" bestFit="1" customWidth="1"/>
    <col min="5" max="5" width="7.6640625" bestFit="1" customWidth="1"/>
  </cols>
  <sheetData>
    <row r="1" spans="1:5" x14ac:dyDescent="0.3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3">
      <c r="A2">
        <v>2023</v>
      </c>
      <c r="B2">
        <v>21250</v>
      </c>
      <c r="C2">
        <v>7163</v>
      </c>
      <c r="D2">
        <v>2939</v>
      </c>
      <c r="E2">
        <v>31352</v>
      </c>
    </row>
    <row r="3" spans="1:5" x14ac:dyDescent="0.3">
      <c r="A3">
        <v>2024</v>
      </c>
      <c r="B3">
        <v>23289</v>
      </c>
      <c r="C3">
        <v>8128</v>
      </c>
      <c r="D3">
        <v>3440</v>
      </c>
      <c r="E3">
        <v>34857</v>
      </c>
    </row>
    <row r="4" spans="1:5" x14ac:dyDescent="0.3">
      <c r="A4">
        <v>2025</v>
      </c>
      <c r="B4">
        <v>25143</v>
      </c>
      <c r="C4">
        <v>8891</v>
      </c>
      <c r="D4">
        <v>3861</v>
      </c>
      <c r="E4">
        <v>37895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9A418-FC6E-42D4-8A6D-193C87D02FA3}">
  <dimension ref="A1:E11"/>
  <sheetViews>
    <sheetView workbookViewId="0">
      <selection sqref="A1:E4"/>
    </sheetView>
  </sheetViews>
  <sheetFormatPr defaultRowHeight="14.4" x14ac:dyDescent="0.3"/>
  <cols>
    <col min="2" max="2" width="11.44140625" customWidth="1"/>
    <col min="3" max="3" width="9.5546875" customWidth="1"/>
    <col min="4" max="4" width="13.33203125" customWidth="1"/>
  </cols>
  <sheetData>
    <row r="1" spans="1:5" x14ac:dyDescent="0.3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</row>
    <row r="2" spans="1:5" x14ac:dyDescent="0.3">
      <c r="A2" s="4">
        <v>2023</v>
      </c>
      <c r="B2" s="4">
        <v>21250</v>
      </c>
      <c r="C2" s="4">
        <v>7163</v>
      </c>
      <c r="D2" s="4">
        <v>2939</v>
      </c>
      <c r="E2" s="4">
        <v>31352</v>
      </c>
    </row>
    <row r="3" spans="1:5" x14ac:dyDescent="0.3">
      <c r="A3" s="4">
        <v>2024</v>
      </c>
      <c r="B3" s="4">
        <v>23289</v>
      </c>
      <c r="C3" s="4">
        <v>8128</v>
      </c>
      <c r="D3" s="4">
        <v>3440</v>
      </c>
      <c r="E3" s="4">
        <v>34857</v>
      </c>
    </row>
    <row r="4" spans="1:5" x14ac:dyDescent="0.3">
      <c r="A4" s="4">
        <v>2025</v>
      </c>
      <c r="B4" s="4">
        <v>25143</v>
      </c>
      <c r="C4" s="4">
        <v>8891</v>
      </c>
      <c r="D4" s="4">
        <v>3861</v>
      </c>
      <c r="E4" s="4">
        <v>37895</v>
      </c>
    </row>
    <row r="9" spans="1:5" x14ac:dyDescent="0.3">
      <c r="B9" s="3"/>
      <c r="C9" s="4"/>
    </row>
    <row r="10" spans="1:5" x14ac:dyDescent="0.3">
      <c r="B10" s="3"/>
      <c r="C10" s="4"/>
    </row>
    <row r="11" spans="1:5" x14ac:dyDescent="0.3">
      <c r="B11" s="3"/>
      <c r="C11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0A644-8EA2-458C-8786-571D6C4A6A1B}">
  <dimension ref="B1:E4"/>
  <sheetViews>
    <sheetView zoomScale="295" zoomScaleNormal="295" workbookViewId="0">
      <selection activeCell="C5" sqref="C5"/>
    </sheetView>
  </sheetViews>
  <sheetFormatPr defaultRowHeight="14.4" x14ac:dyDescent="0.3"/>
  <sheetData>
    <row r="1" spans="2:5" x14ac:dyDescent="0.3">
      <c r="B1" t="s">
        <v>9</v>
      </c>
      <c r="C1" t="s">
        <v>10</v>
      </c>
      <c r="D1" t="s">
        <v>11</v>
      </c>
      <c r="E1" t="s">
        <v>12</v>
      </c>
    </row>
    <row r="2" spans="2:5" x14ac:dyDescent="0.3">
      <c r="B2" t="s">
        <v>5</v>
      </c>
      <c r="C2">
        <v>25143</v>
      </c>
      <c r="D2" s="4">
        <v>21250</v>
      </c>
      <c r="E2" s="4">
        <v>23289</v>
      </c>
    </row>
    <row r="3" spans="2:5" x14ac:dyDescent="0.3">
      <c r="B3" t="s">
        <v>6</v>
      </c>
      <c r="C3">
        <v>8891</v>
      </c>
      <c r="D3" s="4">
        <v>7163</v>
      </c>
      <c r="E3" s="4">
        <v>8128</v>
      </c>
    </row>
    <row r="4" spans="2:5" x14ac:dyDescent="0.3">
      <c r="B4" t="s">
        <v>7</v>
      </c>
      <c r="C4">
        <v>3861</v>
      </c>
      <c r="D4" s="4">
        <v>2939</v>
      </c>
      <c r="E4" s="4">
        <v>3440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0BE04E-EA39-49B0-8648-51EA7DDA55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geodata2</vt:lpstr>
      <vt:lpstr>Sheet2</vt:lpstr>
      <vt:lpstr>geodata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Hemansh Adunoor</dc:creator>
  <cp:lastModifiedBy>Adunoor, Hemansh</cp:lastModifiedBy>
  <dcterms:created xsi:type="dcterms:W3CDTF">2025-10-06T14:03:59Z</dcterms:created>
  <dcterms:modified xsi:type="dcterms:W3CDTF">2025-11-06T19:47:10Z</dcterms:modified>
</cp:coreProperties>
</file>